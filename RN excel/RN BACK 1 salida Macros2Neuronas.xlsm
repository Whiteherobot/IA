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a67e8aa4e6dc318/Escritorio/6to Ciclo/IA/RN excel/"/>
    </mc:Choice>
  </mc:AlternateContent>
  <xr:revisionPtr revIDLastSave="49" documentId="11_BCE95C6B6611C9B5CB2CA9CCA437C14B696B5A90" xr6:coauthVersionLast="47" xr6:coauthVersionMax="47" xr10:uidLastSave="{559E5A08-4B39-4A7D-A3A2-D3E5844B4949}"/>
  <bookViews>
    <workbookView xWindow="-120" yWindow="-120" windowWidth="29040" windowHeight="17520" activeTab="1" xr2:uid="{00000000-000D-0000-FFFF-FFFF00000000}"/>
  </bookViews>
  <sheets>
    <sheet name="Forward Propagation" sheetId="3" r:id="rId1"/>
    <sheet name="Epoch" sheetId="1" r:id="rId2"/>
  </sheets>
  <definedNames>
    <definedName name="_xleta.SQR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1" l="1"/>
  <c r="E8" i="1"/>
  <c r="H4" i="1"/>
  <c r="H13" i="1"/>
  <c r="P8" i="1"/>
  <c r="N7" i="1"/>
  <c r="N8" i="1"/>
  <c r="N11" i="1" l="1"/>
  <c r="N9" i="1" l="1"/>
  <c r="H14" i="1"/>
  <c r="H5" i="1"/>
  <c r="H15" i="1"/>
  <c r="H6" i="1"/>
  <c r="F25" i="1" l="1"/>
  <c r="H24" i="3" l="1"/>
  <c r="H23" i="3" s="1"/>
  <c r="H15" i="3"/>
  <c r="H14" i="3" s="1"/>
  <c r="H6" i="3"/>
  <c r="H5" i="3" s="1"/>
  <c r="N9" i="3" l="1"/>
  <c r="N8" i="3"/>
  <c r="E4" i="1" l="1"/>
  <c r="K5" i="1"/>
  <c r="H8" i="1"/>
  <c r="K14" i="1"/>
  <c r="E12" i="1" l="1"/>
  <c r="H17" i="1"/>
</calcChain>
</file>

<file path=xl/sharedStrings.xml><?xml version="1.0" encoding="utf-8"?>
<sst xmlns="http://schemas.openxmlformats.org/spreadsheetml/2006/main" count="103" uniqueCount="54">
  <si>
    <t>δ</t>
  </si>
  <si>
    <t>b</t>
  </si>
  <si>
    <t>b'</t>
  </si>
  <si>
    <t>w</t>
  </si>
  <si>
    <t>w'</t>
  </si>
  <si>
    <t>Neuronas</t>
  </si>
  <si>
    <t>W11</t>
  </si>
  <si>
    <t>w21</t>
  </si>
  <si>
    <t>W12</t>
  </si>
  <si>
    <t>W22</t>
  </si>
  <si>
    <t>X2</t>
  </si>
  <si>
    <t>X1</t>
  </si>
  <si>
    <t>Los bias nunca suelen ser grandes</t>
  </si>
  <si>
    <t>Salida deseada</t>
  </si>
  <si>
    <r>
      <rPr>
        <sz val="16"/>
        <color theme="1"/>
        <rFont val="Calibri"/>
        <family val="2"/>
      </rPr>
      <t>λ</t>
    </r>
    <r>
      <rPr>
        <sz val="11.2"/>
        <color theme="1"/>
        <rFont val="Calibri"/>
        <family val="2"/>
      </rPr>
      <t>=</t>
    </r>
  </si>
  <si>
    <t>Como el problema es de clasificación se usa la función de activación sigmoidal</t>
  </si>
  <si>
    <t>(Y real)</t>
  </si>
  <si>
    <t>Tasa de aprendizaje</t>
  </si>
  <si>
    <t>Capa 1</t>
  </si>
  <si>
    <t>Salidas</t>
  </si>
  <si>
    <t>z</t>
  </si>
  <si>
    <t>yi=f(z)</t>
  </si>
  <si>
    <t>Si el problema es de regresión la función de activación queda igual a z</t>
  </si>
  <si>
    <t>Capa 2 de Salida</t>
  </si>
  <si>
    <t>OR</t>
  </si>
  <si>
    <t>Y</t>
  </si>
  <si>
    <t>Error (L) - Función de pérdida J(w)</t>
  </si>
  <si>
    <t>x1</t>
  </si>
  <si>
    <t>x2</t>
  </si>
  <si>
    <t>y (real)</t>
  </si>
  <si>
    <t>W2,4</t>
  </si>
  <si>
    <t>W1,4</t>
  </si>
  <si>
    <t>W3,4</t>
  </si>
  <si>
    <t>W1,1</t>
  </si>
  <si>
    <t>w2,1</t>
  </si>
  <si>
    <t>W1,2</t>
  </si>
  <si>
    <t>W2,2</t>
  </si>
  <si>
    <t>W1,3</t>
  </si>
  <si>
    <t>W2,3</t>
  </si>
  <si>
    <t>N1</t>
  </si>
  <si>
    <t>N2</t>
  </si>
  <si>
    <t>N4</t>
  </si>
  <si>
    <t>a.</t>
  </si>
  <si>
    <t>parametros/pesos</t>
  </si>
  <si>
    <t>b.</t>
  </si>
  <si>
    <t>c.</t>
  </si>
  <si>
    <t>Respuestas:</t>
  </si>
  <si>
    <t>6 parámetros</t>
  </si>
  <si>
    <t>Y=0.5004, L=0.1248</t>
  </si>
  <si>
    <t>Y=0.5004, L=0.1247</t>
  </si>
  <si>
    <t>yi=0.7306</t>
  </si>
  <si>
    <t>L=0.2668</t>
  </si>
  <si>
    <t>yi=0.6707</t>
  </si>
  <si>
    <t>L=0.2249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</si>
</sst>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</font>
    <font>
      <sz val="11.2"/>
      <color theme="1"/>
      <name val="Calibri"/>
      <family val="2"/>
    </font>
    <font>
      <b/>
      <sz val="16"/>
      <color rgb="FF0070C0"/>
      <name val="Calibri"/>
      <family val="2"/>
      <scheme val="minor"/>
    </font>
    <font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2" fillId="0" borderId="0" xfId="0" applyFont="1"/>
    <xf numFmtId="0" fontId="1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1" fillId="0" borderId="0" xfId="0" applyFont="1"/>
    <xf numFmtId="0" fontId="4" fillId="0" borderId="0" xfId="0" applyFont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164" fontId="0" fillId="3" borderId="2" xfId="0" applyNumberFormat="1" applyFill="1" applyBorder="1" applyAlignment="1">
      <alignment horizontal="right"/>
    </xf>
    <xf numFmtId="164" fontId="0" fillId="0" borderId="2" xfId="0" applyNumberFormat="1" applyBorder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1227367" y="764721"/>
          <a:ext cx="1129390" cy="985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1186546" y="1592036"/>
          <a:ext cx="1156604" cy="4346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1213760" y="1880507"/>
          <a:ext cx="1129390" cy="10531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1143000" y="4827815"/>
          <a:ext cx="1200151" cy="11348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680358</xdr:colOff>
      <xdr:row>7</xdr:row>
      <xdr:rowOff>27214</xdr:rowOff>
    </xdr:from>
    <xdr:to>
      <xdr:col>2</xdr:col>
      <xdr:colOff>1115785</xdr:colOff>
      <xdr:row>21</xdr:row>
      <xdr:rowOff>40821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966108" y="1894114"/>
          <a:ext cx="1349827" cy="37474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884465</xdr:colOff>
      <xdr:row>23</xdr:row>
      <xdr:rowOff>54427</xdr:rowOff>
    </xdr:from>
    <xdr:to>
      <xdr:col>3</xdr:col>
      <xdr:colOff>0</xdr:colOff>
      <xdr:row>26</xdr:row>
      <xdr:rowOff>13607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1170215" y="6188527"/>
          <a:ext cx="1172935" cy="759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3517449" y="781049"/>
          <a:ext cx="1126669" cy="435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3541939" y="1537607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3531057" y="2936422"/>
          <a:ext cx="109945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3332393" y="4054928"/>
          <a:ext cx="1298118" cy="9824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715740</xdr:colOff>
      <xdr:row>22</xdr:row>
      <xdr:rowOff>8166</xdr:rowOff>
    </xdr:from>
    <xdr:to>
      <xdr:col>6</xdr:col>
      <xdr:colOff>13607</xdr:colOff>
      <xdr:row>23</xdr:row>
      <xdr:rowOff>136071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3335115" y="5875566"/>
          <a:ext cx="1336217" cy="3946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715741</xdr:colOff>
      <xdr:row>24</xdr:row>
      <xdr:rowOff>108857</xdr:rowOff>
    </xdr:from>
    <xdr:to>
      <xdr:col>6</xdr:col>
      <xdr:colOff>0</xdr:colOff>
      <xdr:row>27</xdr:row>
      <xdr:rowOff>27218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3335116" y="6509657"/>
          <a:ext cx="1322609" cy="7184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8430986" y="816429"/>
          <a:ext cx="111306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5993950" y="1050471"/>
          <a:ext cx="1311725" cy="16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5944965" y="3404507"/>
          <a:ext cx="1374318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8414662" y="2283278"/>
          <a:ext cx="1115781" cy="10940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13613</xdr:colOff>
      <xdr:row>10</xdr:row>
      <xdr:rowOff>40821</xdr:rowOff>
    </xdr:from>
    <xdr:to>
      <xdr:col>12</xdr:col>
      <xdr:colOff>0</xdr:colOff>
      <xdr:row>21</xdr:row>
      <xdr:rowOff>253095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8414663" y="2707821"/>
          <a:ext cx="1129387" cy="31459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</xdr:colOff>
      <xdr:row>21</xdr:row>
      <xdr:rowOff>234043</xdr:rowOff>
    </xdr:from>
    <xdr:to>
      <xdr:col>9</xdr:col>
      <xdr:colOff>84365</xdr:colOff>
      <xdr:row>22</xdr:row>
      <xdr:rowOff>13609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6162680" y="5834743"/>
          <a:ext cx="1227360" cy="462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46" name="Conector rec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 flipH="1">
          <a:off x="1224646" y="775607"/>
          <a:ext cx="1129390" cy="10069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H="1">
          <a:off x="1186546" y="1619250"/>
          <a:ext cx="1153883" cy="44386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1211039" y="1918607"/>
          <a:ext cx="1129390" cy="10749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1143000" y="4925786"/>
          <a:ext cx="1197430" cy="11566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 flipV="1">
          <a:off x="3336474" y="791935"/>
          <a:ext cx="1126669" cy="4463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3360964" y="1564821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 flipV="1">
          <a:off x="3350082" y="2996293"/>
          <a:ext cx="1099454" cy="8137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3325589" y="4136571"/>
          <a:ext cx="1123947" cy="9987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 flipV="1">
          <a:off x="7745186" y="832758"/>
          <a:ext cx="1113064" cy="8137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H="1" flipV="1">
          <a:off x="5448304" y="1066800"/>
          <a:ext cx="1164767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H="1">
          <a:off x="5399319" y="3469821"/>
          <a:ext cx="1227360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H="1">
          <a:off x="7728862" y="2326821"/>
          <a:ext cx="1115781" cy="11157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952500</xdr:colOff>
          <xdr:row>23</xdr:row>
          <xdr:rowOff>152400</xdr:rowOff>
        </xdr:from>
        <xdr:to>
          <xdr:col>14</xdr:col>
          <xdr:colOff>142875</xdr:colOff>
          <xdr:row>25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 Epoch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184354</xdr:colOff>
      <xdr:row>14</xdr:row>
      <xdr:rowOff>168992</xdr:rowOff>
    </xdr:from>
    <xdr:to>
      <xdr:col>19</xdr:col>
      <xdr:colOff>1014613</xdr:colOff>
      <xdr:row>18</xdr:row>
      <xdr:rowOff>153629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9233" y="3825363"/>
          <a:ext cx="7697477" cy="10293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23</xdr:row>
          <xdr:rowOff>200025</xdr:rowOff>
        </xdr:from>
        <xdr:to>
          <xdr:col>11</xdr:col>
          <xdr:colOff>600075</xdr:colOff>
          <xdr:row>25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28"/>
  <sheetViews>
    <sheetView zoomScale="62" zoomScaleNormal="62" workbookViewId="0">
      <selection activeCell="N24" sqref="N24"/>
    </sheetView>
  </sheetViews>
  <sheetFormatPr baseColWidth="10" defaultRowHeight="21" x14ac:dyDescent="0.35"/>
  <cols>
    <col min="1" max="1" width="2.7265625" bestFit="1" customWidth="1"/>
    <col min="2" max="2" width="8.7265625" customWidth="1"/>
    <col min="4" max="4" width="2.6328125" bestFit="1" customWidth="1"/>
    <col min="5" max="5" width="8.54296875" customWidth="1"/>
    <col min="7" max="7" width="5.81640625" bestFit="1" customWidth="1"/>
    <col min="8" max="8" width="8.54296875" customWidth="1"/>
    <col min="10" max="10" width="2.7265625" bestFit="1" customWidth="1"/>
    <col min="11" max="11" width="7.7265625" customWidth="1"/>
    <col min="13" max="13" width="5.81640625" bestFit="1" customWidth="1"/>
    <col min="14" max="14" width="9.36328125" customWidth="1"/>
  </cols>
  <sheetData>
    <row r="1" spans="1:24" x14ac:dyDescent="0.35">
      <c r="G1" s="33" t="s">
        <v>5</v>
      </c>
      <c r="H1" s="33"/>
      <c r="V1" s="13" t="s">
        <v>24</v>
      </c>
    </row>
    <row r="2" spans="1:24" x14ac:dyDescent="0.35">
      <c r="D2" s="32" t="s">
        <v>33</v>
      </c>
      <c r="E2" s="32"/>
      <c r="G2" s="33" t="s">
        <v>18</v>
      </c>
      <c r="H2" s="33"/>
      <c r="M2" s="33" t="s">
        <v>23</v>
      </c>
      <c r="N2" s="33"/>
      <c r="V2" t="s">
        <v>11</v>
      </c>
      <c r="W2" t="s">
        <v>10</v>
      </c>
      <c r="X2" t="s">
        <v>25</v>
      </c>
    </row>
    <row r="3" spans="1:24" x14ac:dyDescent="0.35">
      <c r="D3" s="8" t="s">
        <v>3</v>
      </c>
      <c r="E3" s="8">
        <v>0.1</v>
      </c>
      <c r="G3" s="32"/>
      <c r="H3" s="32"/>
      <c r="J3" s="32" t="s">
        <v>31</v>
      </c>
      <c r="K3" s="32"/>
      <c r="V3">
        <v>0</v>
      </c>
      <c r="W3">
        <v>0</v>
      </c>
      <c r="X3">
        <v>0</v>
      </c>
    </row>
    <row r="4" spans="1:24" x14ac:dyDescent="0.35">
      <c r="D4" s="1"/>
      <c r="E4" s="1"/>
      <c r="G4" s="2"/>
      <c r="H4" s="3"/>
      <c r="J4" s="8" t="s">
        <v>3</v>
      </c>
      <c r="K4" s="8">
        <v>0.1</v>
      </c>
      <c r="V4">
        <v>0</v>
      </c>
      <c r="W4">
        <v>1</v>
      </c>
      <c r="X4">
        <v>1</v>
      </c>
    </row>
    <row r="5" spans="1:24" x14ac:dyDescent="0.35">
      <c r="G5" s="4" t="s">
        <v>21</v>
      </c>
      <c r="H5" s="4">
        <f>H6</f>
        <v>3.165</v>
      </c>
      <c r="J5" s="1"/>
      <c r="K5" s="1"/>
      <c r="V5">
        <v>1</v>
      </c>
      <c r="W5">
        <v>0</v>
      </c>
      <c r="X5">
        <v>1</v>
      </c>
    </row>
    <row r="6" spans="1:24" x14ac:dyDescent="0.35">
      <c r="D6" s="32" t="s">
        <v>34</v>
      </c>
      <c r="E6" s="32"/>
      <c r="G6" s="5" t="s">
        <v>20</v>
      </c>
      <c r="H6" s="5">
        <f>(B7*E3+B23*E7)</f>
        <v>3.165</v>
      </c>
      <c r="V6">
        <v>1</v>
      </c>
      <c r="W6">
        <v>1</v>
      </c>
      <c r="X6">
        <v>1</v>
      </c>
    </row>
    <row r="7" spans="1:24" x14ac:dyDescent="0.35">
      <c r="A7" s="1" t="s">
        <v>11</v>
      </c>
      <c r="B7" s="1">
        <v>30</v>
      </c>
      <c r="D7" s="8" t="s">
        <v>3</v>
      </c>
      <c r="E7" s="8">
        <v>0.1</v>
      </c>
      <c r="G7" s="6"/>
      <c r="H7" s="6"/>
      <c r="J7" s="31"/>
      <c r="K7" s="31"/>
      <c r="M7" s="2"/>
      <c r="N7" s="3"/>
      <c r="O7" s="30"/>
      <c r="P7" s="31"/>
      <c r="Q7" s="31"/>
    </row>
    <row r="8" spans="1:24" x14ac:dyDescent="0.35">
      <c r="D8" s="1"/>
      <c r="E8" s="1"/>
      <c r="G8" s="7"/>
      <c r="H8" s="7"/>
      <c r="M8" s="4" t="s">
        <v>21</v>
      </c>
      <c r="N8" s="4">
        <f>IF(N9&gt;0.5,1,0)</f>
        <v>1</v>
      </c>
    </row>
    <row r="9" spans="1:24" x14ac:dyDescent="0.35">
      <c r="M9" s="5" t="s">
        <v>20</v>
      </c>
      <c r="N9" s="5">
        <f>(H5*K4+H14*K13+H23*K22)</f>
        <v>0.94950000000000001</v>
      </c>
    </row>
    <row r="10" spans="1:24" x14ac:dyDescent="0.35">
      <c r="D10" s="32" t="s">
        <v>35</v>
      </c>
      <c r="E10" s="32"/>
      <c r="M10" s="6"/>
      <c r="N10" s="6"/>
    </row>
    <row r="11" spans="1:24" x14ac:dyDescent="0.35">
      <c r="D11" s="8" t="s">
        <v>3</v>
      </c>
      <c r="E11" s="8">
        <v>0.1</v>
      </c>
      <c r="M11" s="7"/>
      <c r="N11" s="7"/>
    </row>
    <row r="12" spans="1:24" x14ac:dyDescent="0.35">
      <c r="D12" s="1"/>
      <c r="E12" s="1"/>
      <c r="J12" s="32" t="s">
        <v>30</v>
      </c>
      <c r="K12" s="32"/>
    </row>
    <row r="13" spans="1:24" x14ac:dyDescent="0.35">
      <c r="G13" s="2"/>
      <c r="H13" s="3"/>
      <c r="J13" s="8" t="s">
        <v>3</v>
      </c>
      <c r="K13" s="8">
        <v>0.1</v>
      </c>
    </row>
    <row r="14" spans="1:24" x14ac:dyDescent="0.35">
      <c r="G14" s="4" t="s">
        <v>21</v>
      </c>
      <c r="H14" s="4">
        <f>H15</f>
        <v>3.165</v>
      </c>
      <c r="J14" s="1"/>
      <c r="K14" s="1"/>
      <c r="O14" s="10"/>
    </row>
    <row r="15" spans="1:24" x14ac:dyDescent="0.35">
      <c r="G15" s="5" t="s">
        <v>20</v>
      </c>
      <c r="H15" s="5">
        <f>(B7*E11+B23*E19)</f>
        <v>3.165</v>
      </c>
    </row>
    <row r="16" spans="1:24" x14ac:dyDescent="0.35">
      <c r="G16" s="6"/>
      <c r="H16" s="6"/>
    </row>
    <row r="17" spans="1:13" x14ac:dyDescent="0.35">
      <c r="G17" s="7"/>
      <c r="H17" s="7"/>
    </row>
    <row r="18" spans="1:13" x14ac:dyDescent="0.35">
      <c r="D18" s="32" t="s">
        <v>36</v>
      </c>
      <c r="E18" s="32"/>
      <c r="J18" s="31"/>
      <c r="K18" s="31"/>
    </row>
    <row r="19" spans="1:13" x14ac:dyDescent="0.35">
      <c r="D19" s="8" t="s">
        <v>3</v>
      </c>
      <c r="E19" s="8">
        <v>0.1</v>
      </c>
      <c r="M19" s="10"/>
    </row>
    <row r="20" spans="1:13" x14ac:dyDescent="0.35">
      <c r="D20" s="1"/>
      <c r="E20" s="1"/>
    </row>
    <row r="21" spans="1:13" x14ac:dyDescent="0.35">
      <c r="J21" s="32" t="s">
        <v>32</v>
      </c>
      <c r="K21" s="32"/>
    </row>
    <row r="22" spans="1:13" x14ac:dyDescent="0.35">
      <c r="D22" s="34" t="s">
        <v>37</v>
      </c>
      <c r="E22" s="35"/>
      <c r="G22" s="2"/>
      <c r="H22" s="3"/>
      <c r="J22" s="8" t="s">
        <v>3</v>
      </c>
      <c r="K22" s="8">
        <v>0.1</v>
      </c>
    </row>
    <row r="23" spans="1:13" x14ac:dyDescent="0.35">
      <c r="A23" s="1" t="s">
        <v>10</v>
      </c>
      <c r="B23" s="1">
        <v>1.65</v>
      </c>
      <c r="D23" s="8" t="s">
        <v>3</v>
      </c>
      <c r="E23" s="8">
        <v>0.1</v>
      </c>
      <c r="G23" s="4" t="s">
        <v>21</v>
      </c>
      <c r="H23" s="4">
        <f>H24</f>
        <v>3.165</v>
      </c>
      <c r="J23" s="1"/>
      <c r="K23" s="1"/>
    </row>
    <row r="24" spans="1:13" x14ac:dyDescent="0.35">
      <c r="D24" s="1"/>
      <c r="E24" s="1"/>
      <c r="G24" s="5" t="s">
        <v>20</v>
      </c>
      <c r="H24" s="5">
        <f>(B7*E23+B23*E27)</f>
        <v>3.165</v>
      </c>
    </row>
    <row r="25" spans="1:13" x14ac:dyDescent="0.35">
      <c r="G25" s="6"/>
      <c r="H25" s="6"/>
    </row>
    <row r="26" spans="1:13" x14ac:dyDescent="0.35">
      <c r="D26" s="32" t="s">
        <v>38</v>
      </c>
      <c r="E26" s="32"/>
      <c r="G26" s="7"/>
      <c r="H26" s="7"/>
    </row>
    <row r="27" spans="1:13" x14ac:dyDescent="0.35">
      <c r="D27" s="8" t="s">
        <v>3</v>
      </c>
      <c r="E27" s="8">
        <v>0.1</v>
      </c>
    </row>
    <row r="28" spans="1:13" x14ac:dyDescent="0.35">
      <c r="D28" s="1"/>
      <c r="E28" s="1"/>
    </row>
  </sheetData>
  <mergeCells count="16">
    <mergeCell ref="D22:E22"/>
    <mergeCell ref="D26:E26"/>
    <mergeCell ref="J12:K12"/>
    <mergeCell ref="J21:K21"/>
    <mergeCell ref="D6:E6"/>
    <mergeCell ref="J7:K7"/>
    <mergeCell ref="O7:Q7"/>
    <mergeCell ref="D10:E10"/>
    <mergeCell ref="D18:E18"/>
    <mergeCell ref="J18:K18"/>
    <mergeCell ref="G1:H1"/>
    <mergeCell ref="D2:E2"/>
    <mergeCell ref="G2:H2"/>
    <mergeCell ref="M2:N2"/>
    <mergeCell ref="G3:H3"/>
    <mergeCell ref="J3:K3"/>
  </mergeCell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27"/>
  <sheetViews>
    <sheetView tabSelected="1" zoomScale="85" zoomScaleNormal="85" workbookViewId="0">
      <selection activeCell="I11" sqref="I11"/>
    </sheetView>
  </sheetViews>
  <sheetFormatPr baseColWidth="10" defaultRowHeight="21" x14ac:dyDescent="0.35"/>
  <cols>
    <col min="1" max="1" width="2.7265625" bestFit="1" customWidth="1"/>
    <col min="2" max="2" width="8.7265625" customWidth="1"/>
    <col min="4" max="4" width="2.6328125" bestFit="1" customWidth="1"/>
    <col min="5" max="5" width="8.54296875" customWidth="1"/>
    <col min="7" max="7" width="5.81640625" bestFit="1" customWidth="1"/>
    <col min="8" max="8" width="8.54296875" customWidth="1"/>
    <col min="10" max="10" width="2.7265625" bestFit="1" customWidth="1"/>
    <col min="11" max="11" width="7.7265625" customWidth="1"/>
    <col min="13" max="13" width="5.81640625" bestFit="1" customWidth="1"/>
    <col min="14" max="14" width="9.36328125" customWidth="1"/>
    <col min="15" max="15" width="12.81640625" bestFit="1" customWidth="1"/>
  </cols>
  <sheetData>
    <row r="1" spans="1:25" x14ac:dyDescent="0.35">
      <c r="G1" s="33" t="s">
        <v>5</v>
      </c>
      <c r="H1" s="33"/>
      <c r="W1" s="13" t="s">
        <v>24</v>
      </c>
    </row>
    <row r="2" spans="1:25" x14ac:dyDescent="0.35">
      <c r="D2" s="32" t="s">
        <v>6</v>
      </c>
      <c r="E2" s="32"/>
      <c r="G2" s="33" t="s">
        <v>18</v>
      </c>
      <c r="H2" s="33"/>
      <c r="M2" s="33" t="s">
        <v>23</v>
      </c>
      <c r="N2" s="33"/>
      <c r="P2" t="s">
        <v>12</v>
      </c>
      <c r="W2" t="s">
        <v>11</v>
      </c>
      <c r="X2" t="s">
        <v>10</v>
      </c>
      <c r="Y2" t="s">
        <v>25</v>
      </c>
    </row>
    <row r="3" spans="1:25" x14ac:dyDescent="0.35">
      <c r="D3" s="8" t="s">
        <v>3</v>
      </c>
      <c r="E3" s="8">
        <v>0.1</v>
      </c>
      <c r="G3" s="32"/>
      <c r="H3" s="32"/>
      <c r="J3" s="32" t="s">
        <v>6</v>
      </c>
      <c r="K3" s="32"/>
      <c r="P3" t="s">
        <v>22</v>
      </c>
      <c r="W3">
        <v>0</v>
      </c>
      <c r="X3">
        <v>0</v>
      </c>
      <c r="Y3">
        <v>0</v>
      </c>
    </row>
    <row r="4" spans="1:25" x14ac:dyDescent="0.35">
      <c r="D4" s="1" t="s">
        <v>4</v>
      </c>
      <c r="E4" s="1">
        <f>E3+(B7*H4)*Q14</f>
        <v>0.1</v>
      </c>
      <c r="G4" s="2" t="s">
        <v>0</v>
      </c>
      <c r="H4" s="3">
        <f>(1/2*POWER(H6,-1/2)*(N7*K4))</f>
        <v>6.417104324644636E-2</v>
      </c>
      <c r="J4" s="8" t="s">
        <v>3</v>
      </c>
      <c r="K4" s="8">
        <v>0.1</v>
      </c>
      <c r="P4" t="s">
        <v>15</v>
      </c>
      <c r="W4">
        <v>0</v>
      </c>
      <c r="X4">
        <v>1</v>
      </c>
      <c r="Y4">
        <v>1</v>
      </c>
    </row>
    <row r="5" spans="1:25" x14ac:dyDescent="0.35">
      <c r="G5" s="4" t="s">
        <v>21</v>
      </c>
      <c r="H5" s="4">
        <f>2*POWER(H6,1/2)</f>
        <v>0.63245553203367588</v>
      </c>
      <c r="J5" s="1" t="s">
        <v>4</v>
      </c>
      <c r="K5" s="29">
        <f>K4+(N7*H5)*Q14</f>
        <v>0.35668417298578547</v>
      </c>
      <c r="O5" s="11" t="s">
        <v>19</v>
      </c>
      <c r="W5">
        <v>1</v>
      </c>
      <c r="X5">
        <v>0</v>
      </c>
      <c r="Y5">
        <v>1</v>
      </c>
    </row>
    <row r="6" spans="1:25" x14ac:dyDescent="0.35">
      <c r="D6" s="32" t="s">
        <v>7</v>
      </c>
      <c r="E6" s="32"/>
      <c r="G6" s="5" t="s">
        <v>20</v>
      </c>
      <c r="H6" s="5">
        <f>(B7*E3+B23*E7)+H7</f>
        <v>0.1</v>
      </c>
      <c r="O6" s="12" t="s">
        <v>16</v>
      </c>
      <c r="W6">
        <v>1</v>
      </c>
      <c r="X6">
        <v>1</v>
      </c>
      <c r="Y6">
        <v>1</v>
      </c>
    </row>
    <row r="7" spans="1:25" x14ac:dyDescent="0.35">
      <c r="A7" s="1" t="s">
        <v>11</v>
      </c>
      <c r="B7" s="1">
        <v>0</v>
      </c>
      <c r="D7" s="8" t="s">
        <v>3</v>
      </c>
      <c r="E7" s="8">
        <v>0.1</v>
      </c>
      <c r="G7" s="6" t="s">
        <v>1</v>
      </c>
      <c r="H7" s="6">
        <v>0</v>
      </c>
      <c r="J7" s="24"/>
      <c r="K7" s="24"/>
      <c r="M7" s="2" t="s">
        <v>0</v>
      </c>
      <c r="N7" s="3">
        <f>(1/2*POWER(N9,-1/2)*(O8-N8))</f>
        <v>0.40585331297587257</v>
      </c>
      <c r="O7" s="9" t="s">
        <v>13</v>
      </c>
      <c r="P7" s="36" t="s">
        <v>26</v>
      </c>
      <c r="Q7" s="37"/>
      <c r="R7" s="37"/>
      <c r="T7" s="13" t="s">
        <v>46</v>
      </c>
    </row>
    <row r="8" spans="1:25" x14ac:dyDescent="0.35">
      <c r="D8" s="1" t="s">
        <v>4</v>
      </c>
      <c r="E8" s="1">
        <f>E7+(B23*H4)*Q14</f>
        <v>0.16417104324644638</v>
      </c>
      <c r="G8" s="7" t="s">
        <v>2</v>
      </c>
      <c r="H8" s="7">
        <f>H7-(Q14*H4)</f>
        <v>-6.417104324644636E-2</v>
      </c>
      <c r="M8" s="4" t="s">
        <v>21</v>
      </c>
      <c r="N8" s="28">
        <f>2*POWER(N9,1/2)</f>
        <v>0.71131176401556917</v>
      </c>
      <c r="O8" s="9">
        <v>1</v>
      </c>
      <c r="P8">
        <f>1/2*(O8-N8)^2</f>
        <v>4.1670448797901209E-2</v>
      </c>
      <c r="T8" t="s">
        <v>47</v>
      </c>
    </row>
    <row r="9" spans="1:25" x14ac:dyDescent="0.35">
      <c r="G9" s="14" t="s">
        <v>39</v>
      </c>
      <c r="M9" s="5" t="s">
        <v>20</v>
      </c>
      <c r="N9" s="5">
        <f>(H5*K4+H14*K13)+N10</f>
        <v>0.12649110640673519</v>
      </c>
      <c r="T9" t="s">
        <v>48</v>
      </c>
    </row>
    <row r="10" spans="1:25" x14ac:dyDescent="0.35">
      <c r="D10" s="32" t="s">
        <v>8</v>
      </c>
      <c r="E10" s="32"/>
      <c r="M10" s="6" t="s">
        <v>1</v>
      </c>
      <c r="N10" s="6">
        <v>0</v>
      </c>
      <c r="T10" t="s">
        <v>49</v>
      </c>
    </row>
    <row r="11" spans="1:25" x14ac:dyDescent="0.35">
      <c r="D11" s="8" t="s">
        <v>3</v>
      </c>
      <c r="E11" s="8">
        <v>0.1</v>
      </c>
      <c r="M11" s="7" t="s">
        <v>2</v>
      </c>
      <c r="N11" s="7">
        <f>N10-(Q14*N7)</f>
        <v>-0.40585331297587257</v>
      </c>
    </row>
    <row r="12" spans="1:25" x14ac:dyDescent="0.35">
      <c r="D12" s="1" t="s">
        <v>4</v>
      </c>
      <c r="E12" s="1">
        <f>E11+(B7*H13)*Q14</f>
        <v>0.1</v>
      </c>
      <c r="M12" s="14" t="s">
        <v>41</v>
      </c>
    </row>
    <row r="13" spans="1:25" x14ac:dyDescent="0.35">
      <c r="G13" s="2" t="s">
        <v>0</v>
      </c>
      <c r="H13" s="3">
        <f>(1/2*POWER(H15,-1/2)*(N7*K13))</f>
        <v>6.417104324644636E-2</v>
      </c>
      <c r="J13" s="8" t="s">
        <v>3</v>
      </c>
      <c r="K13" s="8">
        <v>0.1</v>
      </c>
      <c r="P13" t="s">
        <v>17</v>
      </c>
    </row>
    <row r="14" spans="1:25" x14ac:dyDescent="0.35">
      <c r="G14" s="4" t="s">
        <v>21</v>
      </c>
      <c r="H14" s="4">
        <f>2*POWER(H15,1/2)</f>
        <v>0.63245553203367588</v>
      </c>
      <c r="J14" s="1" t="s">
        <v>4</v>
      </c>
      <c r="K14" s="29">
        <f>K13+(N7*H14)*Q14</f>
        <v>0.35668417298578547</v>
      </c>
      <c r="P14" s="10" t="s">
        <v>14</v>
      </c>
      <c r="Q14">
        <v>1</v>
      </c>
    </row>
    <row r="15" spans="1:25" x14ac:dyDescent="0.35">
      <c r="G15" s="5" t="s">
        <v>20</v>
      </c>
      <c r="H15" s="5">
        <f>(B7*E11+B23*E19)+H16</f>
        <v>0.1</v>
      </c>
    </row>
    <row r="16" spans="1:25" x14ac:dyDescent="0.35">
      <c r="G16" s="6" t="s">
        <v>1</v>
      </c>
      <c r="H16" s="6">
        <v>0</v>
      </c>
    </row>
    <row r="17" spans="1:18" x14ac:dyDescent="0.35">
      <c r="G17" s="7" t="s">
        <v>2</v>
      </c>
      <c r="H17" s="7">
        <f>H16-(Q14*H13)</f>
        <v>-6.417104324644636E-2</v>
      </c>
    </row>
    <row r="18" spans="1:18" x14ac:dyDescent="0.35">
      <c r="D18" s="32" t="s">
        <v>9</v>
      </c>
      <c r="E18" s="32"/>
      <c r="G18" s="14" t="s">
        <v>40</v>
      </c>
      <c r="J18" s="24"/>
      <c r="K18" s="24"/>
    </row>
    <row r="19" spans="1:18" x14ac:dyDescent="0.35">
      <c r="D19" s="8" t="s">
        <v>3</v>
      </c>
      <c r="E19" s="8">
        <v>0.1</v>
      </c>
      <c r="M19" s="10"/>
    </row>
    <row r="20" spans="1:18" ht="21.75" thickBot="1" x14ac:dyDescent="0.4">
      <c r="D20" s="1" t="s">
        <v>4</v>
      </c>
      <c r="E20" s="1">
        <f>E19+(B23*H13)*Q14</f>
        <v>0.16417104324644638</v>
      </c>
    </row>
    <row r="21" spans="1:18" ht="21.75" thickBot="1" x14ac:dyDescent="0.4">
      <c r="P21" s="19" t="s">
        <v>27</v>
      </c>
      <c r="Q21" s="21" t="s">
        <v>28</v>
      </c>
      <c r="R21" s="20" t="s">
        <v>29</v>
      </c>
    </row>
    <row r="22" spans="1:18" x14ac:dyDescent="0.35">
      <c r="P22" s="15">
        <v>0</v>
      </c>
      <c r="Q22" s="22">
        <v>1</v>
      </c>
      <c r="R22" s="16">
        <v>1</v>
      </c>
    </row>
    <row r="23" spans="1:18" x14ac:dyDescent="0.35">
      <c r="A23" s="1" t="s">
        <v>10</v>
      </c>
      <c r="B23" s="1">
        <v>1</v>
      </c>
      <c r="P23" s="15">
        <v>1</v>
      </c>
      <c r="Q23" s="22">
        <v>0</v>
      </c>
      <c r="R23" s="16">
        <v>1</v>
      </c>
    </row>
    <row r="24" spans="1:18" x14ac:dyDescent="0.35">
      <c r="P24" s="15">
        <v>0</v>
      </c>
      <c r="Q24" s="22">
        <v>0</v>
      </c>
      <c r="R24" s="16">
        <v>0</v>
      </c>
    </row>
    <row r="25" spans="1:18" ht="21.75" thickBot="1" x14ac:dyDescent="0.4">
      <c r="E25" s="27" t="s">
        <v>42</v>
      </c>
      <c r="F25" s="26">
        <f>2*2+2*1</f>
        <v>6</v>
      </c>
      <c r="G25" s="25" t="s">
        <v>43</v>
      </c>
      <c r="H25" s="25"/>
      <c r="I25" s="25"/>
      <c r="P25" s="17">
        <v>1</v>
      </c>
      <c r="Q25" s="23">
        <v>1</v>
      </c>
      <c r="R25" s="18">
        <v>1</v>
      </c>
    </row>
    <row r="26" spans="1:18" x14ac:dyDescent="0.35">
      <c r="E26" s="27" t="s">
        <v>44</v>
      </c>
      <c r="F26" s="25" t="s">
        <v>50</v>
      </c>
      <c r="G26" s="25" t="s">
        <v>51</v>
      </c>
      <c r="H26" s="25"/>
      <c r="I26" s="25"/>
    </row>
    <row r="27" spans="1:18" x14ac:dyDescent="0.35">
      <c r="E27" s="27" t="s">
        <v>45</v>
      </c>
      <c r="F27" s="25" t="s">
        <v>52</v>
      </c>
      <c r="G27" s="25" t="s">
        <v>53</v>
      </c>
      <c r="H27" s="25"/>
      <c r="I27" s="25"/>
    </row>
  </sheetData>
  <mergeCells count="10">
    <mergeCell ref="D10:E10"/>
    <mergeCell ref="G2:H2"/>
    <mergeCell ref="M2:N2"/>
    <mergeCell ref="J3:K3"/>
    <mergeCell ref="D18:E18"/>
    <mergeCell ref="P7:R7"/>
    <mergeCell ref="G1:H1"/>
    <mergeCell ref="G3:H3"/>
    <mergeCell ref="D2:E2"/>
    <mergeCell ref="D6:E6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cionesredneuronal">
                <anchor moveWithCells="1" sizeWithCells="1">
                  <from>
                    <xdr:col>11</xdr:col>
                    <xdr:colOff>952500</xdr:colOff>
                    <xdr:row>23</xdr:row>
                    <xdr:rowOff>152400</xdr:rowOff>
                  </from>
                  <to>
                    <xdr:col>14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ciar">
                <anchor moveWithCells="1" sizeWithCells="1">
                  <from>
                    <xdr:col>9</xdr:col>
                    <xdr:colOff>247650</xdr:colOff>
                    <xdr:row>23</xdr:row>
                    <xdr:rowOff>200025</xdr:rowOff>
                  </from>
                  <to>
                    <xdr:col>11</xdr:col>
                    <xdr:colOff>600075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Forward Propagation</vt:lpstr>
      <vt:lpstr>Epoch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Whiteherobot +</cp:lastModifiedBy>
  <dcterms:created xsi:type="dcterms:W3CDTF">2016-03-17T16:54:35Z</dcterms:created>
  <dcterms:modified xsi:type="dcterms:W3CDTF">2025-05-27T01:38:28Z</dcterms:modified>
</cp:coreProperties>
</file>